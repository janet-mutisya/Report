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<sst xmlns="http://schemas.openxmlformats.org/spreadsheetml/2006/main" count="112" uniqueCount="111">
  <si>
    <t>SECURITY PATROL REPORT</t>
  </si>
  <si>
    <t>BMFO NOR RUNDA 1</t>
  </si>
  <si>
    <t>Client Name</t>
  </si>
  <si>
    <t>Account Number</t>
  </si>
  <si>
    <t>A04F</t>
  </si>
  <si>
    <t>Report Type</t>
  </si>
  <si>
    <t>CUSTOM</t>
  </si>
  <si>
    <t>Period</t>
  </si>
  <si>
    <t>25/07/2026 to 25/07/2026</t>
  </si>
  <si>
    <t>Shift Days</t>
  </si>
  <si>
    <t>Generated At</t>
  </si>
  <si>
    <t>26/07/2026, 07:10:17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</si>
  <si>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</si>
  <si>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</si>
  <si>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</si>
  <si>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</si>
  <si>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</si>
  <si>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</si>
  <si>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</si>
  <si>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</si>
  <si>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</si>
  <si>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</si>
  <si>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</si>
  <si>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</si>
  <si>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</si>
  <si>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</si>
  <si>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</si>
  <si>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</si>
  <si>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GERMAN TV ZDF THIGIRI FARM</t>
  </si>
  <si>
    <t>NOR LAKEVIEW PATROL</t>
  </si>
  <si>
    <t>MAGNOLIA HILLS MNGT</t>
  </si>
  <si>
    <t>GALIANA SOLUZIONA LTD</t>
  </si>
  <si>
    <t>KENAFRIC NARENDRA SHAH</t>
  </si>
  <si>
    <t>NATHOO RES FARASI LANE</t>
  </si>
  <si>
    <t>RAJESH SHAH LAKEVIEW</t>
  </si>
  <si>
    <t>KENTMERE FLORA RESIDENCE</t>
  </si>
  <si>
    <t>ROSSLYN SPRINGS MANAGEMENT</t>
  </si>
  <si>
    <t>LINDA RESIDENCE</t>
  </si>
  <si>
    <t>MONTET RESIDENCE</t>
  </si>
  <si>
    <t>NOR NENA SANDERSON HSE</t>
  </si>
  <si>
    <t>YASIN BURUGU</t>
  </si>
  <si>
    <t>ICRC LOWER KABETE</t>
  </si>
  <si>
    <t>NOR FINANCE DIRECTOR ILIRI RES</t>
  </si>
  <si>
    <t>NOR UN CHRISTOPHER HODDER</t>
  </si>
  <si>
    <t>ILRI RENEE BULLOCK</t>
  </si>
  <si>
    <t>RAVI PATEL</t>
  </si>
  <si>
    <t>MERCY CORPS LORESHO</t>
  </si>
  <si>
    <t>EMANUELA CATTANEO</t>
  </si>
  <si>
    <t>ICRAF GEORGE CHRISTOFEEL</t>
  </si>
  <si>
    <t>EMBASSY OF SPAIN</t>
  </si>
  <si>
    <t>ANKOLE GRILL LTD</t>
  </si>
  <si>
    <t>LIBERTY CEO KIERAN GODDEN</t>
  </si>
  <si>
    <t>NOR LIBERTY CEO GODDEN</t>
  </si>
  <si>
    <t>UNESCO MISAKO RESIDENCE</t>
  </si>
  <si>
    <t>JNM HOLDINGS LIMURU RD</t>
  </si>
  <si>
    <t>UNDP SHEWIT HAILU DESTA</t>
  </si>
  <si>
    <t>SACHIN VARMA</t>
  </si>
  <si>
    <t>NOR JULIUS COURT</t>
  </si>
  <si>
    <t>SILPACK KYUNA RESIDENCE</t>
  </si>
  <si>
    <t>ABSA JAMES AGIN RES</t>
  </si>
  <si>
    <t>UNICEF JAMES HEDGES</t>
  </si>
  <si>
    <t>LINDA ARCHER RESIDENCE</t>
  </si>
  <si>
    <t>MARTIN HABEL WORLD BANK</t>
  </si>
  <si>
    <t>UNICEF HANI MANSOURIAN</t>
  </si>
  <si>
    <t>MR GHELLOT RESIDENCE</t>
  </si>
  <si>
    <t>AIM INTERNATIONAL KABETE</t>
  </si>
  <si>
    <t>RIVIERA APARTMENTS</t>
  </si>
  <si>
    <t>CHURCH WORLD NICOLE RES</t>
  </si>
  <si>
    <t>CHURCH WORLD SCOTT RES</t>
  </si>
  <si>
    <t>ORBIT CHEMICALS KITISURU</t>
  </si>
  <si>
    <t>UNICEF VICTORIA MWENDA</t>
  </si>
  <si>
    <t>MARK FLYNN</t>
  </si>
  <si>
    <t>DIANA LOPEZ AVILA RES</t>
  </si>
  <si>
    <t>KENYA RED CROSS JIPE CLOSE</t>
  </si>
  <si>
    <t>CELINE MERSH</t>
  </si>
  <si>
    <t>MR BLANCHE PICARELLO</t>
  </si>
  <si>
    <t>DR WANJIRU RESIDENCE</t>
  </si>
  <si>
    <t>LUCIE DUCHATEAU</t>
  </si>
  <si>
    <t>IOM NGECHA ROAD</t>
  </si>
  <si>
    <t>DANISH REFUGEE COUNCIL</t>
  </si>
  <si>
    <t>ADRIAN MOREL</t>
  </si>
  <si>
    <t>RAJESH SHAH NYARI</t>
  </si>
  <si>
    <t>FRANCISCO DE SOUZA</t>
  </si>
  <si>
    <t>ILRI SIMON BROOKER</t>
  </si>
  <si>
    <t>CHIROMO KABETE SPRINGS</t>
  </si>
  <si>
    <t>ARIANNE WESSAL</t>
  </si>
  <si>
    <t>NOR TEODRA TRALJIC</t>
  </si>
  <si>
    <t>GIOVANNI TRAMBAIDO</t>
  </si>
  <si>
    <t>UNICEF VINCENT PETIT</t>
  </si>
  <si>
    <t>MS DUAN JUAN</t>
  </si>
  <si>
    <t>PLANATE MANAGEMENT GROUP</t>
  </si>
  <si>
    <t>ALEXDAVIDSON</t>
  </si>
  <si>
    <t>NENA SANDERSON HSE 42</t>
  </si>
  <si>
    <t>INTEX CONSTR LAKEVIEW</t>
  </si>
  <si>
    <t>LORESHO HERITAGE PROP</t>
  </si>
  <si>
    <t>LAKE VIEW PATROL SCHEME</t>
  </si>
  <si>
    <t>FINANCE DIRECTOR ILRI RES</t>
  </si>
  <si>
    <t>MARIJE IVONNE BROEKHUIJSEN</t>
  </si>
  <si>
    <t>SCIENCE LOWER KABETE ROAD</t>
  </si>
  <si>
    <t>INTEX SPRING VALLEY</t>
  </si>
  <si>
    <t>UNICEF AIDAN CRONIN RES</t>
  </si>
  <si>
    <t>STEFANIA LUCIA DOEBBEL</t>
  </si>
  <si>
    <t>AUGUSTA LIMITED</t>
  </si>
  <si>
    <t>ILRI ARNDT CLAUDIA RES</t>
  </si>
  <si>
    <t>MR TREVOR KANJA RESIDENCE</t>
  </si>
  <si>
    <t>ALEX DAVIDSON RESIDENCE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</si>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</sst>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78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78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78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"/>
  <sheetFormatPr defaultRowHeight="15" outlineLevelRow="0" outlineLevelCol="0" x14ac:dyDescent="55"/>
  <cols>
    <col min="1" max="1" width="32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t="s">
        <v>78</v>
      </c>
      <c r="B52">
        <v>0</v>
      </c>
      <c r="C52">
        <v>1</v>
      </c>
      <c r="D52" s="5">
        <f>IFERROR(B52/C52,0)</f>
      </c>
    </row>
    <row r="53" spans="1:4" x14ac:dyDescent="0.25">
      <c r="A53" t="s">
        <v>79</v>
      </c>
      <c r="B53">
        <v>0</v>
      </c>
      <c r="C53">
        <v>1</v>
      </c>
      <c r="D53" s="5">
        <f>IFERROR(B53/C53,0)</f>
      </c>
    </row>
    <row r="54" spans="1:4" x14ac:dyDescent="0.25">
      <c r="A54" t="s">
        <v>80</v>
      </c>
      <c r="B54">
        <v>0</v>
      </c>
      <c r="C54">
        <v>1</v>
      </c>
      <c r="D54" s="5">
        <f>IFERROR(B54/C54,0)</f>
      </c>
    </row>
    <row r="55" spans="1:4" x14ac:dyDescent="0.25">
      <c r="A55" t="s">
        <v>81</v>
      </c>
      <c r="B55">
        <v>0</v>
      </c>
      <c r="C55">
        <v>1</v>
      </c>
      <c r="D55" s="5">
        <f>IFERROR(B55/C55,0)</f>
      </c>
    </row>
    <row r="56" spans="1:4" x14ac:dyDescent="0.25">
      <c r="A56" t="s">
        <v>82</v>
      </c>
      <c r="B56">
        <v>0</v>
      </c>
      <c r="C56">
        <v>1</v>
      </c>
      <c r="D56" s="5">
        <f>IFERROR(B56/C56,0)</f>
      </c>
    </row>
    <row r="57" spans="1:4" x14ac:dyDescent="0.25">
      <c r="A57" t="s">
        <v>83</v>
      </c>
      <c r="B57">
        <v>0</v>
      </c>
      <c r="C57">
        <v>1</v>
      </c>
      <c r="D57" s="5">
        <f>IFERROR(B57/C57,0)</f>
      </c>
    </row>
    <row r="58" spans="1:4" x14ac:dyDescent="0.25">
      <c r="A58" t="s">
        <v>84</v>
      </c>
      <c r="B58">
        <v>0</v>
      </c>
      <c r="C58">
        <v>1</v>
      </c>
      <c r="D58" s="5">
        <f>IFERROR(B58/C58,0)</f>
      </c>
    </row>
    <row r="59" spans="1:4" x14ac:dyDescent="0.25">
      <c r="A59" t="s">
        <v>85</v>
      </c>
      <c r="B59">
        <v>0</v>
      </c>
      <c r="C59">
        <v>1</v>
      </c>
      <c r="D59" s="5">
        <f>IFERROR(B59/C59,0)</f>
      </c>
    </row>
    <row r="60" spans="1:4" x14ac:dyDescent="0.25">
      <c r="A60" t="s">
        <v>86</v>
      </c>
      <c r="B60">
        <v>0</v>
      </c>
      <c r="C60">
        <v>1</v>
      </c>
      <c r="D60" s="5">
        <f>IFERROR(B60/C60,0)</f>
      </c>
    </row>
    <row r="61" spans="1:4" x14ac:dyDescent="0.25">
      <c r="A61" t="s">
        <v>87</v>
      </c>
      <c r="B61">
        <v>0</v>
      </c>
      <c r="C61">
        <v>1</v>
      </c>
      <c r="D61" s="5">
        <f>IFERROR(B61/C61,0)</f>
      </c>
    </row>
    <row r="62" spans="1:4" x14ac:dyDescent="0.25">
      <c r="A62" t="s">
        <v>88</v>
      </c>
      <c r="B62">
        <v>0</v>
      </c>
      <c r="C62">
        <v>1</v>
      </c>
      <c r="D62" s="5">
        <f>IFERROR(B62/C62,0)</f>
      </c>
    </row>
    <row r="63" spans="1:4" x14ac:dyDescent="0.25">
      <c r="A63" t="s">
        <v>89</v>
      </c>
      <c r="B63">
        <v>0</v>
      </c>
      <c r="C63">
        <v>1</v>
      </c>
      <c r="D63" s="5">
        <f>IFERROR(B63/C63,0)</f>
      </c>
    </row>
    <row r="64" spans="1:4" x14ac:dyDescent="0.25">
      <c r="A64" t="s">
        <v>90</v>
      </c>
      <c r="B64">
        <v>0</v>
      </c>
      <c r="C64">
        <v>1</v>
      </c>
      <c r="D64" s="5">
        <f>IFERROR(B64/C64,0)</f>
      </c>
    </row>
    <row r="65" spans="1:4" x14ac:dyDescent="0.25">
      <c r="A65" t="s">
        <v>91</v>
      </c>
      <c r="B65">
        <v>0</v>
      </c>
      <c r="C65">
        <v>1</v>
      </c>
      <c r="D65" s="5">
        <f>IFERROR(B65/C65,0)</f>
      </c>
    </row>
    <row r="66" spans="1:4" x14ac:dyDescent="0.25">
      <c r="A66" t="s">
        <v>92</v>
      </c>
      <c r="B66">
        <v>0</v>
      </c>
      <c r="C66">
        <v>1</v>
      </c>
      <c r="D66" s="5">
        <f>IFERROR(B66/C66,0)</f>
      </c>
    </row>
    <row r="67" spans="1:4" x14ac:dyDescent="0.25">
      <c r="A67" t="s">
        <v>93</v>
      </c>
      <c r="B67">
        <v>0</v>
      </c>
      <c r="C67">
        <v>1</v>
      </c>
      <c r="D67" s="5">
        <f>IFERROR(B67/C67,0)</f>
      </c>
    </row>
    <row r="68" spans="1:4" x14ac:dyDescent="0.25">
      <c r="A68" t="s">
        <v>94</v>
      </c>
      <c r="B68">
        <v>0</v>
      </c>
      <c r="C68">
        <v>1</v>
      </c>
      <c r="D68" s="5">
        <f>IFERROR(B68/C68,0)</f>
      </c>
    </row>
    <row r="69" spans="1:4" x14ac:dyDescent="0.25">
      <c r="A69" t="s">
        <v>95</v>
      </c>
      <c r="B69">
        <v>0</v>
      </c>
      <c r="C69">
        <v>1</v>
      </c>
      <c r="D69" s="5">
        <f>IFERROR(B69/C69,0)</f>
      </c>
    </row>
    <row r="70" spans="1:4" x14ac:dyDescent="0.25">
      <c r="A70" t="s">
        <v>96</v>
      </c>
      <c r="B70">
        <v>0</v>
      </c>
      <c r="C70">
        <v>1</v>
      </c>
      <c r="D70" s="5">
        <f>IFERROR(B70/C70,0)</f>
      </c>
    </row>
    <row r="71" spans="1:4" x14ac:dyDescent="0.25">
      <c r="A71" t="s">
        <v>97</v>
      </c>
      <c r="B71">
        <v>0</v>
      </c>
      <c r="C71">
        <v>1</v>
      </c>
      <c r="D71" s="5">
        <f>IFERROR(B71/C71,0)</f>
      </c>
    </row>
    <row r="72" spans="1:4" x14ac:dyDescent="0.25">
      <c r="A72" t="s">
        <v>98</v>
      </c>
      <c r="B72">
        <v>0</v>
      </c>
      <c r="C72">
        <v>1</v>
      </c>
      <c r="D72" s="5">
        <f>IFERROR(B72/C72,0)</f>
      </c>
    </row>
    <row r="73" spans="1:4" x14ac:dyDescent="0.25">
      <c r="A73" t="s">
        <v>99</v>
      </c>
      <c r="B73">
        <v>0</v>
      </c>
      <c r="C73">
        <v>1</v>
      </c>
      <c r="D73" s="5">
        <f>IFERROR(B73/C73,0)</f>
      </c>
    </row>
    <row r="74" spans="1:4" x14ac:dyDescent="0.25">
      <c r="A74" t="s">
        <v>100</v>
      </c>
      <c r="B74">
        <v>0</v>
      </c>
      <c r="C74">
        <v>1</v>
      </c>
      <c r="D74" s="5">
        <f>IFERROR(B74/C74,0)</f>
      </c>
    </row>
    <row r="75" spans="1:4" x14ac:dyDescent="0.25">
      <c r="A75" t="s">
        <v>101</v>
      </c>
      <c r="B75">
        <v>0</v>
      </c>
      <c r="C75">
        <v>1</v>
      </c>
      <c r="D75" s="5">
        <f>IFERROR(B75/C75,0)</f>
      </c>
    </row>
    <row r="76" spans="1:4" x14ac:dyDescent="0.25">
      <c r="A76" t="s">
        <v>102</v>
      </c>
      <c r="B76">
        <v>0</v>
      </c>
      <c r="C76">
        <v>1</v>
      </c>
      <c r="D76" s="5">
        <f>IFERROR(B76/C76,0)</f>
      </c>
    </row>
    <row r="77" spans="1:4" x14ac:dyDescent="0.25">
      <c r="A77" t="s">
        <v>103</v>
      </c>
      <c r="B77">
        <v>0</v>
      </c>
      <c r="C77">
        <v>1</v>
      </c>
      <c r="D77" s="5">
        <f>IFERROR(B77/C77,0)</f>
      </c>
    </row>
    <row r="78" spans="1:4" x14ac:dyDescent="0.25">
      <c r="A78" t="s">
        <v>104</v>
      </c>
      <c r="B78">
        <v>0</v>
      </c>
      <c r="C78">
        <v>1</v>
      </c>
      <c r="D78" s="5">
        <f>IFERROR(B78/C78,0)</f>
      </c>
    </row>
    <row r="79" spans="1:4" x14ac:dyDescent="0.25">
      <c r="A79" t="s">
        <v>105</v>
      </c>
      <c r="B79">
        <v>0</v>
      </c>
      <c r="C79">
        <v>1</v>
      </c>
      <c r="D79" s="5">
        <f>IFERROR(B79/C79,0)</f>
      </c>
    </row>
    <row r="80" spans="1:4" x14ac:dyDescent="0.25">
      <c r="A80" s="6" t="s">
        <v>106</v>
      </c>
      <c r="B80" s="6">
        <f>SUM(B2:B79)</f>
      </c>
      <c r="C80" s="6">
        <f>SUM(C2:C79)</f>
      </c>
      <c r="D80" s="7">
        <f>IFERROR(B80/C80,0)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107</v>
      </c>
      <c r="B1" s="4" t="s">
        <v>108</v>
      </c>
      <c r="C1" s="4" t="s">
        <v>109</v>
      </c>
      <c r="D1" s="4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2026-07-26T04:10:17Z</dcterms:created>
  <dcterms:modified xsi:type="dcterms:W3CDTF">2026-07-26T04:10:17Z</dcterms:modified>
</cp:coreProperties>
</file>