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ummary" state="visible" r:id="rId4"/>
    <sheet sheetId="2" name="Patrol Performance" state="visible" r:id="rId5"/>
    <sheet sheetId="3" name="Activity Log" state="visible" r:id="rId6"/>
  </sheets>
  <calcPr calcId="171027"/>
</workbook>
</file>

<file path=xl/sharedStrings.xml><?xml version="1.0" encoding="utf-8"?>
<sst xmlns="http://schemas.openxmlformats.org/spreadsheetml/2006/main" count="211" uniqueCount="130">
  <si>
    <t>SECURITY PATROL REPORT</t>
  </si>
  <si>
    <t>BMFO-NOR-WESTLANDS-DAY</t>
  </si>
  <si>
    <t>Client Name</t>
  </si>
  <si>
    <t>Account Number</t>
  </si>
  <si>
    <t>A04B</t>
  </si>
  <si>
    <t>Report Type</t>
  </si>
  <si>
    <t>CUSTOM</t>
  </si>
  <si>
    <t>Period</t>
  </si>
  <si>
    <t>23/07/2026 to 23/07/2026</t>
  </si>
  <si>
    <t>Shift Days</t>
  </si>
  <si>
    <t>Generated At</t>
  </si>
  <si>
    <t>24/07/2026, 07:00:39</t>
  </si>
  <si>
    <t>Overall Performance</t>
  </si>
  <si>
    <t>Total Completed Patrols</t>
  </si>
  <si>
    <t>Total Expected Patrols</t>
  </si>
  <si>
    <t>Total Incidents</t>
  </si>
  <si>
    <t>Total Zones</t>
  </si>
  <si>
    <t>Active Zones</t>
  </si>
  <si>
    <t>Ghost Zones (zero activity)</t>
  </si>
  <si>
    <t>Excluded Zones (bad data)</t>
  </si>
  <si>
    <t>Patrol Source</t>
  </si>
  <si>
    <t>ARCHIVE</t>
  </si>
  <si>
    <t>Zone Source</t>
  </si>
  <si>
    <t>API</t>
  </si>
  <si>
    <t>Security Post / Zone</t>
  </si>
  <si>
    <t>Completed</t>
  </si>
  <si>
    <t>Expected</t>
  </si>
  <si>
    <t>Performance %</t>
  </si>
  <si>
    <t>NOR-WESTLANDS-D-AGGRAL RESIDENCE</t>
  </si>
  <si>
    <t>NOR-WESTLANDS-D-GARDENS APARTMENT</t>
  </si>
  <si>
    <t>NOR-WESTLANDS-D-KATES APARTMENT</t>
  </si>
  <si>
    <t>NOR-WESTLANDS-D-MAYFAIR OFFICE SUITES</t>
  </si>
  <si>
    <t>NOR-WESTLANDS-D-ROYAL OFFICES MOGOTIO</t>
  </si>
  <si>
    <t>NOR-WESTLANDS-D-PINNACLE APARTMENT</t>
  </si>
  <si>
    <t>NOR-WESTLANDS-D-SARIT CENTRE</t>
  </si>
  <si>
    <t>NOR-SARIT CENTRE</t>
  </si>
  <si>
    <t>NOR-RAJESH SHA 1ST PARKLANDS</t>
  </si>
  <si>
    <t>NOR SHANZU COURT MNGT</t>
  </si>
  <si>
    <t>NOR UBA BANK</t>
  </si>
  <si>
    <t>NOR AFRICAN UNION</t>
  </si>
  <si>
    <t>NOR WAUMIN SACCO</t>
  </si>
  <si>
    <t>NOR SUNTON VALLEY</t>
  </si>
  <si>
    <t>NOR MR. NITIN SHA</t>
  </si>
  <si>
    <t>NOR TREC ENTERPRISES</t>
  </si>
  <si>
    <t>NOR NORTH PARK PLACE</t>
  </si>
  <si>
    <t>NOR NCBA GRENADIER HOUSE</t>
  </si>
  <si>
    <t>NOR SHANZU COURT 1</t>
  </si>
  <si>
    <t>NOR SHANZU COURT 2&amp;3</t>
  </si>
  <si>
    <t>NOR NCBA THE PROMENADE</t>
  </si>
  <si>
    <t>NOR 748 AIR MIRAGE PLAZA</t>
  </si>
  <si>
    <t>NOR ELITE GARDENS VILLAS</t>
  </si>
  <si>
    <t>NOR FEDHA PLAZA WESTLANDS</t>
  </si>
  <si>
    <t>NOR FEDHA PLAZA CAPITAL M</t>
  </si>
  <si>
    <t>NOR CHIROMO MED LANE</t>
  </si>
  <si>
    <t>NOR ELITE RESIDENCE VAAL</t>
  </si>
  <si>
    <t>NOR ILRI ANN GOSHI</t>
  </si>
  <si>
    <t>NOR ABSA WESTEND BUILDING</t>
  </si>
  <si>
    <t>NOR ABSA CHIERA WAITHAKA</t>
  </si>
  <si>
    <t>NOR ABSA LIMURU</t>
  </si>
  <si>
    <t>NOR ABASA STELLA MAMBO RES</t>
  </si>
  <si>
    <t>NOR CARINA RUMBERGER YANDA</t>
  </si>
  <si>
    <t>NOR JOHANNITER UNFALL HIFE</t>
  </si>
  <si>
    <t>NOR CIMMTY ABHISHEK</t>
  </si>
  <si>
    <t>NOR ANDERSON PETERSON</t>
  </si>
  <si>
    <t>NOR PENTAGON GARDENS</t>
  </si>
  <si>
    <t>NOR GT BANK HEAD OFFICE</t>
  </si>
  <si>
    <t>NOR GT BANK APIC</t>
  </si>
  <si>
    <t>NOR GT BANK SKYPARK</t>
  </si>
  <si>
    <t>NOR PTA ASSURANCE CEO RES</t>
  </si>
  <si>
    <t>NOR HIGH COMM  OF INDIA</t>
  </si>
  <si>
    <t>NOR HEAD OF ICRC RES</t>
  </si>
  <si>
    <t>NOR EQUITY WESTLANDS</t>
  </si>
  <si>
    <t>NOR BAWMAN ASSOCIATES</t>
  </si>
  <si>
    <t>NOR SANDALWOOD BROOKSIDE</t>
  </si>
  <si>
    <t>NOR PARKLANDS SPORTS CLUB</t>
  </si>
  <si>
    <t>NOR SOLEDAD SANCHEZ</t>
  </si>
  <si>
    <t>NOR ICRC ALBERT JABRE</t>
  </si>
  <si>
    <t>NOR LUQMAN ENERGY 5TH PARKLANDS</t>
  </si>
  <si>
    <t>NOR ORIEL LTD WESTLANDS</t>
  </si>
  <si>
    <t>NOR DIB BANK WESTLANDS</t>
  </si>
  <si>
    <t>NOR INTEX CONSTUCTION</t>
  </si>
  <si>
    <t>NOR HOT POINT SARIT CENTRE</t>
  </si>
  <si>
    <t>NOR VICTORIA BANK PROMENADE</t>
  </si>
  <si>
    <t>NOR ABSA UON</t>
  </si>
  <si>
    <t>NOR ABSA SARIT CENTRE</t>
  </si>
  <si>
    <t>NOR MULTICHOICE SARIT CENTRE</t>
  </si>
  <si>
    <t>NOR MY SAFE VAULT SARIT</t>
  </si>
  <si>
    <t>NOR HARLEYS LIMITED</t>
  </si>
  <si>
    <t>NOR TAARIFA SUITES DUNHILL</t>
  </si>
  <si>
    <t>NOR VICTORIA CARPET SARIT</t>
  </si>
  <si>
    <t>NOR UBA BANK IMPERIAL COURT</t>
  </si>
  <si>
    <t>NOR NCBA BANK THE MALL</t>
  </si>
  <si>
    <t>NOR GALLANT BUILDING</t>
  </si>
  <si>
    <t>TOTAL</t>
  </si>
  <si>
    <t>Date</t>
  </si>
  <si>
    <t>Time</t>
  </si>
  <si>
    <t>Event</t>
  </si>
  <si>
    <t>Location</t>
  </si>
  <si>
    <t>23/07/2026</t>
  </si>
  <si>
    <t>19:38:58</t>
  </si>
  <si>
    <t>VigiControl Arrival</t>
  </si>
  <si>
    <t>Zone UNKNOWN</t>
  </si>
  <si>
    <t>20:35:17</t>
  </si>
  <si>
    <t>21:06:03</t>
  </si>
  <si>
    <t>21:12:01</t>
  </si>
  <si>
    <t>21:51:45</t>
  </si>
  <si>
    <t>22:06:22</t>
  </si>
  <si>
    <t>22:30:14</t>
  </si>
  <si>
    <t>24/07/2026</t>
  </si>
  <si>
    <t>00:20:16</t>
  </si>
  <si>
    <t>00:28:34</t>
  </si>
  <si>
    <t>00:34:02</t>
  </si>
  <si>
    <t>01:07:38</t>
  </si>
  <si>
    <t>01:37:28</t>
  </si>
  <si>
    <t>03:12:37</t>
  </si>
  <si>
    <t>03:17:13</t>
  </si>
  <si>
    <t>03:26:34</t>
  </si>
  <si>
    <t>03:33:46</t>
  </si>
  <si>
    <t>03:41:06</t>
  </si>
  <si>
    <t>03:44:43</t>
  </si>
  <si>
    <t>03:58:02</t>
  </si>
  <si>
    <t>04:05:50</t>
  </si>
  <si>
    <t>04:16:56</t>
  </si>
  <si>
    <t>04:24:07</t>
  </si>
  <si>
    <t>04:32:17</t>
  </si>
  <si>
    <t>04:39:51</t>
  </si>
  <si>
    <t>04:51:53</t>
  </si>
  <si>
    <t>05:02:55</t>
  </si>
  <si>
    <t>05:05:12</t>
  </si>
  <si>
    <t>05:15:06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</si>
</sst>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0%"/>
  </numFmts>
  <fonts count="4" x14ac:knownFonts="1">
    <font>
      <color theme="1"/>
      <family val="2"/>
      <scheme val="minor"/>
      <sz val="11"/>
      <name val="Calibri"/>
    </font>
    <font>
      <b/>
      <sz val="14"/>
    </font>
    <font>
      <b/>
    </font>
    <font>
      <b/>
      <color rgb="FFFFFFFF"/>
    </font>
  </fonts>
  <fills count="4">
    <fill>
      <patternFill patternType="none"/>
    </fill>
    <fill>
      <patternFill patternType="gray125"/>
    </fill>
    <fill>
      <patternFill patternType="solid">
        <fgColor rgb="FF1F3864"/>
      </patternFill>
    </fill>
    <fill>
      <patternFill patternType="solid">
        <fgColor rgb="FFDCE6F1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0" fontId="3" fillId="2" borderId="0" xfId="0" applyFont="1" applyFill="1" applyAlignment="1">
      <alignment horizontal="left" vertical="center"/>
    </xf>
    <xf numFmtId="9" fontId="0" fillId="0" borderId="0" xfId="0" applyNumberFormat="1"/>
    <xf numFmtId="0" fontId="2" fillId="3" borderId="0" xfId="0" applyFont="1" applyFill="1"/>
    <xf numFmtId="9" fontId="2" fillId="3" borderId="0" xfId="0" applyNumberFormat="1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1"/>
  <sheetFormatPr defaultRowHeight="15" outlineLevelRow="0" outlineLevelCol="0" x14ac:dyDescent="55"/>
  <cols>
    <col min="1" max="1" width="29" customWidth="1"/>
    <col min="2" max="2" width="26" customWidth="1"/>
  </cols>
  <sheetData>
    <row r="1" spans="1:2" s="1" customFormat="1" x14ac:dyDescent="0.25">
      <c r="A1" s="1" t="s">
        <v>0</v>
      </c>
      <c r="B1" s="1" t="s">
        <v>1</v>
      </c>
    </row>
    <row r="2" spans="1:2" x14ac:dyDescent="0.25"/>
    <row r="3" spans="1:2" x14ac:dyDescent="0.25">
      <c r="A3" s="2" t="s">
        <v>2</v>
      </c>
      <c r="B3" t="s">
        <v>1</v>
      </c>
    </row>
    <row r="4" spans="1:2" x14ac:dyDescent="0.25">
      <c r="A4" s="2" t="s">
        <v>3</v>
      </c>
      <c r="B4" t="s">
        <v>4</v>
      </c>
    </row>
    <row r="5" spans="1:2" x14ac:dyDescent="0.25">
      <c r="A5" s="2" t="s">
        <v>5</v>
      </c>
      <c r="B5" t="s">
        <v>6</v>
      </c>
    </row>
    <row r="6" spans="1:2" x14ac:dyDescent="0.25">
      <c r="A6" s="2" t="s">
        <v>7</v>
      </c>
      <c r="B6" t="s">
        <v>8</v>
      </c>
    </row>
    <row r="7" spans="1:2" x14ac:dyDescent="0.25">
      <c r="A7" s="2" t="s">
        <v>9</v>
      </c>
      <c r="B7">
        <v>1</v>
      </c>
    </row>
    <row r="8" spans="1:2" x14ac:dyDescent="0.25">
      <c r="A8" s="2" t="s">
        <v>10</v>
      </c>
      <c r="B8" t="s">
        <v>11</v>
      </c>
    </row>
    <row r="9" spans="1:2" x14ac:dyDescent="0.25"/>
    <row r="10" spans="1:2" x14ac:dyDescent="0.25">
      <c r="A10" s="2" t="s">
        <v>12</v>
      </c>
      <c r="B10" s="3">
        <v>0</v>
      </c>
    </row>
    <row r="11" spans="1:2" x14ac:dyDescent="0.25">
      <c r="A11" s="2" t="s">
        <v>13</v>
      </c>
      <c r="B11">
        <v>0</v>
      </c>
    </row>
    <row r="12" spans="1:2" x14ac:dyDescent="0.25">
      <c r="A12" s="2" t="s">
        <v>14</v>
      </c>
      <c r="B12">
        <v>65</v>
      </c>
    </row>
    <row r="13" spans="1:2" x14ac:dyDescent="0.25">
      <c r="A13" s="2" t="s">
        <v>15</v>
      </c>
      <c r="B13">
        <v>0</v>
      </c>
    </row>
    <row r="14" spans="1:2" x14ac:dyDescent="0.25"/>
    <row r="15" spans="1:2" x14ac:dyDescent="0.25">
      <c r="A15" s="2" t="s">
        <v>16</v>
      </c>
      <c r="B15">
        <v>65</v>
      </c>
    </row>
    <row r="16" spans="1:2" x14ac:dyDescent="0.25">
      <c r="A16" s="2" t="s">
        <v>17</v>
      </c>
      <c r="B16">
        <v>0</v>
      </c>
    </row>
    <row r="17" spans="1:2" x14ac:dyDescent="0.25">
      <c r="A17" s="2" t="s">
        <v>18</v>
      </c>
      <c r="B17">
        <v>65</v>
      </c>
    </row>
    <row r="18" spans="1:2" x14ac:dyDescent="0.25">
      <c r="A18" s="2" t="s">
        <v>19</v>
      </c>
      <c r="B18">
        <v>0</v>
      </c>
    </row>
    <row r="19" spans="1:2" x14ac:dyDescent="0.25"/>
    <row r="20" spans="1:2" x14ac:dyDescent="0.25">
      <c r="A20" s="2" t="s">
        <v>20</v>
      </c>
      <c r="B20" t="s">
        <v>21</v>
      </c>
    </row>
    <row r="21" spans="1:2" x14ac:dyDescent="0.25">
      <c r="A21" s="2" t="s">
        <v>22</v>
      </c>
      <c r="B21" t="s">
        <v>23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67"/>
  <sheetFormatPr defaultRowHeight="15" outlineLevelRow="0" outlineLevelCol="0" x14ac:dyDescent="55"/>
  <cols>
    <col min="1" max="1" width="39" customWidth="1"/>
    <col min="2" max="4" width="17" customWidth="1"/>
  </cols>
  <sheetData>
    <row r="1" ht="20" customHeight="1" spans="1:4" x14ac:dyDescent="0.25">
      <c r="A1" s="4" t="s">
        <v>24</v>
      </c>
      <c r="B1" s="4" t="s">
        <v>25</v>
      </c>
      <c r="C1" s="4" t="s">
        <v>26</v>
      </c>
      <c r="D1" s="4" t="s">
        <v>27</v>
      </c>
    </row>
    <row r="2" spans="1:4" x14ac:dyDescent="0.25">
      <c r="A2" t="s">
        <v>28</v>
      </c>
      <c r="B2">
        <v>0</v>
      </c>
      <c r="C2">
        <v>1</v>
      </c>
      <c r="D2" s="5">
        <f>IFERROR(B2/C2,0)</f>
      </c>
    </row>
    <row r="3" spans="1:4" x14ac:dyDescent="0.25">
      <c r="A3" t="s">
        <v>29</v>
      </c>
      <c r="B3">
        <v>0</v>
      </c>
      <c r="C3">
        <v>1</v>
      </c>
      <c r="D3" s="5">
        <f>IFERROR(B3/C3,0)</f>
      </c>
    </row>
    <row r="4" spans="1:4" x14ac:dyDescent="0.25">
      <c r="A4" t="s">
        <v>30</v>
      </c>
      <c r="B4">
        <v>0</v>
      </c>
      <c r="C4">
        <v>1</v>
      </c>
      <c r="D4" s="5">
        <f>IFERROR(B4/C4,0)</f>
      </c>
    </row>
    <row r="5" spans="1:4" x14ac:dyDescent="0.25">
      <c r="A5" t="s">
        <v>31</v>
      </c>
      <c r="B5">
        <v>0</v>
      </c>
      <c r="C5">
        <v>1</v>
      </c>
      <c r="D5" s="5">
        <f>IFERROR(B5/C5,0)</f>
      </c>
    </row>
    <row r="6" spans="1:4" x14ac:dyDescent="0.25">
      <c r="A6" t="s">
        <v>32</v>
      </c>
      <c r="B6">
        <v>0</v>
      </c>
      <c r="C6">
        <v>1</v>
      </c>
      <c r="D6" s="5">
        <f>IFERROR(B6/C6,0)</f>
      </c>
    </row>
    <row r="7" spans="1:4" x14ac:dyDescent="0.25">
      <c r="A7" t="s">
        <v>33</v>
      </c>
      <c r="B7">
        <v>0</v>
      </c>
      <c r="C7">
        <v>1</v>
      </c>
      <c r="D7" s="5">
        <f>IFERROR(B7/C7,0)</f>
      </c>
    </row>
    <row r="8" spans="1:4" x14ac:dyDescent="0.25">
      <c r="A8" t="s">
        <v>34</v>
      </c>
      <c r="B8">
        <v>0</v>
      </c>
      <c r="C8">
        <v>1</v>
      </c>
      <c r="D8" s="5">
        <f>IFERROR(B8/C8,0)</f>
      </c>
    </row>
    <row r="9" spans="1:4" x14ac:dyDescent="0.25">
      <c r="A9" t="s">
        <v>35</v>
      </c>
      <c r="B9">
        <v>0</v>
      </c>
      <c r="C9">
        <v>1</v>
      </c>
      <c r="D9" s="5">
        <f>IFERROR(B9/C9,0)</f>
      </c>
    </row>
    <row r="10" spans="1:4" x14ac:dyDescent="0.25">
      <c r="A10" t="s">
        <v>36</v>
      </c>
      <c r="B10">
        <v>0</v>
      </c>
      <c r="C10">
        <v>1</v>
      </c>
      <c r="D10" s="5">
        <f>IFERROR(B10/C10,0)</f>
      </c>
    </row>
    <row r="11" spans="1:4" x14ac:dyDescent="0.25">
      <c r="A11" t="s">
        <v>37</v>
      </c>
      <c r="B11">
        <v>0</v>
      </c>
      <c r="C11">
        <v>1</v>
      </c>
      <c r="D11" s="5">
        <f>IFERROR(B11/C11,0)</f>
      </c>
    </row>
    <row r="12" spans="1:4" x14ac:dyDescent="0.25">
      <c r="A12" t="s">
        <v>38</v>
      </c>
      <c r="B12">
        <v>0</v>
      </c>
      <c r="C12">
        <v>1</v>
      </c>
      <c r="D12" s="5">
        <f>IFERROR(B12/C12,0)</f>
      </c>
    </row>
    <row r="13" spans="1:4" x14ac:dyDescent="0.25">
      <c r="A13" t="s">
        <v>39</v>
      </c>
      <c r="B13">
        <v>0</v>
      </c>
      <c r="C13">
        <v>1</v>
      </c>
      <c r="D13" s="5">
        <f>IFERROR(B13/C13,0)</f>
      </c>
    </row>
    <row r="14" spans="1:4" x14ac:dyDescent="0.25">
      <c r="A14" t="s">
        <v>40</v>
      </c>
      <c r="B14">
        <v>0</v>
      </c>
      <c r="C14">
        <v>1</v>
      </c>
      <c r="D14" s="5">
        <f>IFERROR(B14/C14,0)</f>
      </c>
    </row>
    <row r="15" spans="1:4" x14ac:dyDescent="0.25">
      <c r="A15" t="s">
        <v>41</v>
      </c>
      <c r="B15">
        <v>0</v>
      </c>
      <c r="C15">
        <v>1</v>
      </c>
      <c r="D15" s="5">
        <f>IFERROR(B15/C15,0)</f>
      </c>
    </row>
    <row r="16" spans="1:4" x14ac:dyDescent="0.25">
      <c r="A16" t="s">
        <v>42</v>
      </c>
      <c r="B16">
        <v>0</v>
      </c>
      <c r="C16">
        <v>1</v>
      </c>
      <c r="D16" s="5">
        <f>IFERROR(B16/C16,0)</f>
      </c>
    </row>
    <row r="17" spans="1:4" x14ac:dyDescent="0.25">
      <c r="A17" t="s">
        <v>43</v>
      </c>
      <c r="B17">
        <v>0</v>
      </c>
      <c r="C17">
        <v>1</v>
      </c>
      <c r="D17" s="5">
        <f>IFERROR(B17/C17,0)</f>
      </c>
    </row>
    <row r="18" spans="1:4" x14ac:dyDescent="0.25">
      <c r="A18" t="s">
        <v>44</v>
      </c>
      <c r="B18">
        <v>0</v>
      </c>
      <c r="C18">
        <v>1</v>
      </c>
      <c r="D18" s="5">
        <f>IFERROR(B18/C18,0)</f>
      </c>
    </row>
    <row r="19" spans="1:4" x14ac:dyDescent="0.25">
      <c r="A19" t="s">
        <v>45</v>
      </c>
      <c r="B19">
        <v>0</v>
      </c>
      <c r="C19">
        <v>1</v>
      </c>
      <c r="D19" s="5">
        <f>IFERROR(B19/C19,0)</f>
      </c>
    </row>
    <row r="20" spans="1:4" x14ac:dyDescent="0.25">
      <c r="A20" t="s">
        <v>46</v>
      </c>
      <c r="B20">
        <v>0</v>
      </c>
      <c r="C20">
        <v>1</v>
      </c>
      <c r="D20" s="5">
        <f>IFERROR(B20/C20,0)</f>
      </c>
    </row>
    <row r="21" spans="1:4" x14ac:dyDescent="0.25">
      <c r="A21" t="s">
        <v>47</v>
      </c>
      <c r="B21">
        <v>0</v>
      </c>
      <c r="C21">
        <v>1</v>
      </c>
      <c r="D21" s="5">
        <f>IFERROR(B21/C21,0)</f>
      </c>
    </row>
    <row r="22" spans="1:4" x14ac:dyDescent="0.25">
      <c r="A22" t="s">
        <v>48</v>
      </c>
      <c r="B22">
        <v>0</v>
      </c>
      <c r="C22">
        <v>1</v>
      </c>
      <c r="D22" s="5">
        <f>IFERROR(B22/C22,0)</f>
      </c>
    </row>
    <row r="23" spans="1:4" x14ac:dyDescent="0.25">
      <c r="A23" t="s">
        <v>49</v>
      </c>
      <c r="B23">
        <v>0</v>
      </c>
      <c r="C23">
        <v>1</v>
      </c>
      <c r="D23" s="5">
        <f>IFERROR(B23/C23,0)</f>
      </c>
    </row>
    <row r="24" spans="1:4" x14ac:dyDescent="0.25">
      <c r="A24" t="s">
        <v>50</v>
      </c>
      <c r="B24">
        <v>0</v>
      </c>
      <c r="C24">
        <v>1</v>
      </c>
      <c r="D24" s="5">
        <f>IFERROR(B24/C24,0)</f>
      </c>
    </row>
    <row r="25" spans="1:4" x14ac:dyDescent="0.25">
      <c r="A25" t="s">
        <v>51</v>
      </c>
      <c r="B25">
        <v>0</v>
      </c>
      <c r="C25">
        <v>1</v>
      </c>
      <c r="D25" s="5">
        <f>IFERROR(B25/C25,0)</f>
      </c>
    </row>
    <row r="26" spans="1:4" x14ac:dyDescent="0.25">
      <c r="A26" t="s">
        <v>52</v>
      </c>
      <c r="B26">
        <v>0</v>
      </c>
      <c r="C26">
        <v>1</v>
      </c>
      <c r="D26" s="5">
        <f>IFERROR(B26/C26,0)</f>
      </c>
    </row>
    <row r="27" spans="1:4" x14ac:dyDescent="0.25">
      <c r="A27" t="s">
        <v>53</v>
      </c>
      <c r="B27">
        <v>0</v>
      </c>
      <c r="C27">
        <v>1</v>
      </c>
      <c r="D27" s="5">
        <f>IFERROR(B27/C27,0)</f>
      </c>
    </row>
    <row r="28" spans="1:4" x14ac:dyDescent="0.25">
      <c r="A28" t="s">
        <v>54</v>
      </c>
      <c r="B28">
        <v>0</v>
      </c>
      <c r="C28">
        <v>1</v>
      </c>
      <c r="D28" s="5">
        <f>IFERROR(B28/C28,0)</f>
      </c>
    </row>
    <row r="29" spans="1:4" x14ac:dyDescent="0.25">
      <c r="A29" t="s">
        <v>55</v>
      </c>
      <c r="B29">
        <v>0</v>
      </c>
      <c r="C29">
        <v>1</v>
      </c>
      <c r="D29" s="5">
        <f>IFERROR(B29/C29,0)</f>
      </c>
    </row>
    <row r="30" spans="1:4" x14ac:dyDescent="0.25">
      <c r="A30" t="s">
        <v>56</v>
      </c>
      <c r="B30">
        <v>0</v>
      </c>
      <c r="C30">
        <v>1</v>
      </c>
      <c r="D30" s="5">
        <f>IFERROR(B30/C30,0)</f>
      </c>
    </row>
    <row r="31" spans="1:4" x14ac:dyDescent="0.25">
      <c r="A31" t="s">
        <v>57</v>
      </c>
      <c r="B31">
        <v>0</v>
      </c>
      <c r="C31">
        <v>1</v>
      </c>
      <c r="D31" s="5">
        <f>IFERROR(B31/C31,0)</f>
      </c>
    </row>
    <row r="32" spans="1:4" x14ac:dyDescent="0.25">
      <c r="A32" t="s">
        <v>58</v>
      </c>
      <c r="B32">
        <v>0</v>
      </c>
      <c r="C32">
        <v>1</v>
      </c>
      <c r="D32" s="5">
        <f>IFERROR(B32/C32,0)</f>
      </c>
    </row>
    <row r="33" spans="1:4" x14ac:dyDescent="0.25">
      <c r="A33" t="s">
        <v>59</v>
      </c>
      <c r="B33">
        <v>0</v>
      </c>
      <c r="C33">
        <v>1</v>
      </c>
      <c r="D33" s="5">
        <f>IFERROR(B33/C33,0)</f>
      </c>
    </row>
    <row r="34" spans="1:4" x14ac:dyDescent="0.25">
      <c r="A34" t="s">
        <v>60</v>
      </c>
      <c r="B34">
        <v>0</v>
      </c>
      <c r="C34">
        <v>1</v>
      </c>
      <c r="D34" s="5">
        <f>IFERROR(B34/C34,0)</f>
      </c>
    </row>
    <row r="35" spans="1:4" x14ac:dyDescent="0.25">
      <c r="A35" t="s">
        <v>61</v>
      </c>
      <c r="B35">
        <v>0</v>
      </c>
      <c r="C35">
        <v>1</v>
      </c>
      <c r="D35" s="5">
        <f>IFERROR(B35/C35,0)</f>
      </c>
    </row>
    <row r="36" spans="1:4" x14ac:dyDescent="0.25">
      <c r="A36" t="s">
        <v>62</v>
      </c>
      <c r="B36">
        <v>0</v>
      </c>
      <c r="C36">
        <v>1</v>
      </c>
      <c r="D36" s="5">
        <f>IFERROR(B36/C36,0)</f>
      </c>
    </row>
    <row r="37" spans="1:4" x14ac:dyDescent="0.25">
      <c r="A37" t="s">
        <v>63</v>
      </c>
      <c r="B37">
        <v>0</v>
      </c>
      <c r="C37">
        <v>1</v>
      </c>
      <c r="D37" s="5">
        <f>IFERROR(B37/C37,0)</f>
      </c>
    </row>
    <row r="38" spans="1:4" x14ac:dyDescent="0.25">
      <c r="A38" t="s">
        <v>64</v>
      </c>
      <c r="B38">
        <v>0</v>
      </c>
      <c r="C38">
        <v>1</v>
      </c>
      <c r="D38" s="5">
        <f>IFERROR(B38/C38,0)</f>
      </c>
    </row>
    <row r="39" spans="1:4" x14ac:dyDescent="0.25">
      <c r="A39" t="s">
        <v>65</v>
      </c>
      <c r="B39">
        <v>0</v>
      </c>
      <c r="C39">
        <v>1</v>
      </c>
      <c r="D39" s="5">
        <f>IFERROR(B39/C39,0)</f>
      </c>
    </row>
    <row r="40" spans="1:4" x14ac:dyDescent="0.25">
      <c r="A40" t="s">
        <v>66</v>
      </c>
      <c r="B40">
        <v>0</v>
      </c>
      <c r="C40">
        <v>1</v>
      </c>
      <c r="D40" s="5">
        <f>IFERROR(B40/C40,0)</f>
      </c>
    </row>
    <row r="41" spans="1:4" x14ac:dyDescent="0.25">
      <c r="A41" t="s">
        <v>67</v>
      </c>
      <c r="B41">
        <v>0</v>
      </c>
      <c r="C41">
        <v>1</v>
      </c>
      <c r="D41" s="5">
        <f>IFERROR(B41/C41,0)</f>
      </c>
    </row>
    <row r="42" spans="1:4" x14ac:dyDescent="0.25">
      <c r="A42" t="s">
        <v>68</v>
      </c>
      <c r="B42">
        <v>0</v>
      </c>
      <c r="C42">
        <v>1</v>
      </c>
      <c r="D42" s="5">
        <f>IFERROR(B42/C42,0)</f>
      </c>
    </row>
    <row r="43" spans="1:4" x14ac:dyDescent="0.25">
      <c r="A43" t="s">
        <v>69</v>
      </c>
      <c r="B43">
        <v>0</v>
      </c>
      <c r="C43">
        <v>1</v>
      </c>
      <c r="D43" s="5">
        <f>IFERROR(B43/C43,0)</f>
      </c>
    </row>
    <row r="44" spans="1:4" x14ac:dyDescent="0.25">
      <c r="A44" t="s">
        <v>70</v>
      </c>
      <c r="B44">
        <v>0</v>
      </c>
      <c r="C44">
        <v>1</v>
      </c>
      <c r="D44" s="5">
        <f>IFERROR(B44/C44,0)</f>
      </c>
    </row>
    <row r="45" spans="1:4" x14ac:dyDescent="0.25">
      <c r="A45" t="s">
        <v>71</v>
      </c>
      <c r="B45">
        <v>0</v>
      </c>
      <c r="C45">
        <v>1</v>
      </c>
      <c r="D45" s="5">
        <f>IFERROR(B45/C45,0)</f>
      </c>
    </row>
    <row r="46" spans="1:4" x14ac:dyDescent="0.25">
      <c r="A46" t="s">
        <v>72</v>
      </c>
      <c r="B46">
        <v>0</v>
      </c>
      <c r="C46">
        <v>1</v>
      </c>
      <c r="D46" s="5">
        <f>IFERROR(B46/C46,0)</f>
      </c>
    </row>
    <row r="47" spans="1:4" x14ac:dyDescent="0.25">
      <c r="A47" t="s">
        <v>73</v>
      </c>
      <c r="B47">
        <v>0</v>
      </c>
      <c r="C47">
        <v>1</v>
      </c>
      <c r="D47" s="5">
        <f>IFERROR(B47/C47,0)</f>
      </c>
    </row>
    <row r="48" spans="1:4" x14ac:dyDescent="0.25">
      <c r="A48" t="s">
        <v>74</v>
      </c>
      <c r="B48">
        <v>0</v>
      </c>
      <c r="C48">
        <v>1</v>
      </c>
      <c r="D48" s="5">
        <f>IFERROR(B48/C48,0)</f>
      </c>
    </row>
    <row r="49" spans="1:4" x14ac:dyDescent="0.25">
      <c r="A49" t="s">
        <v>75</v>
      </c>
      <c r="B49">
        <v>0</v>
      </c>
      <c r="C49">
        <v>1</v>
      </c>
      <c r="D49" s="5">
        <f>IFERROR(B49/C49,0)</f>
      </c>
    </row>
    <row r="50" spans="1:4" x14ac:dyDescent="0.25">
      <c r="A50" t="s">
        <v>76</v>
      </c>
      <c r="B50">
        <v>0</v>
      </c>
      <c r="C50">
        <v>1</v>
      </c>
      <c r="D50" s="5">
        <f>IFERROR(B50/C50,0)</f>
      </c>
    </row>
    <row r="51" spans="1:4" x14ac:dyDescent="0.25">
      <c r="A51" t="s">
        <v>77</v>
      </c>
      <c r="B51">
        <v>0</v>
      </c>
      <c r="C51">
        <v>1</v>
      </c>
      <c r="D51" s="5">
        <f>IFERROR(B51/C51,0)</f>
      </c>
    </row>
    <row r="52" spans="1:4" x14ac:dyDescent="0.25">
      <c r="A52" t="s">
        <v>78</v>
      </c>
      <c r="B52">
        <v>0</v>
      </c>
      <c r="C52">
        <v>1</v>
      </c>
      <c r="D52" s="5">
        <f>IFERROR(B52/C52,0)</f>
      </c>
    </row>
    <row r="53" spans="1:4" x14ac:dyDescent="0.25">
      <c r="A53" t="s">
        <v>79</v>
      </c>
      <c r="B53">
        <v>0</v>
      </c>
      <c r="C53">
        <v>1</v>
      </c>
      <c r="D53" s="5">
        <f>IFERROR(B53/C53,0)</f>
      </c>
    </row>
    <row r="54" spans="1:4" x14ac:dyDescent="0.25">
      <c r="A54" t="s">
        <v>80</v>
      </c>
      <c r="B54">
        <v>0</v>
      </c>
      <c r="C54">
        <v>1</v>
      </c>
      <c r="D54" s="5">
        <f>IFERROR(B54/C54,0)</f>
      </c>
    </row>
    <row r="55" spans="1:4" x14ac:dyDescent="0.25">
      <c r="A55" t="s">
        <v>81</v>
      </c>
      <c r="B55">
        <v>0</v>
      </c>
      <c r="C55">
        <v>1</v>
      </c>
      <c r="D55" s="5">
        <f>IFERROR(B55/C55,0)</f>
      </c>
    </row>
    <row r="56" spans="1:4" x14ac:dyDescent="0.25">
      <c r="A56" t="s">
        <v>82</v>
      </c>
      <c r="B56">
        <v>0</v>
      </c>
      <c r="C56">
        <v>1</v>
      </c>
      <c r="D56" s="5">
        <f>IFERROR(B56/C56,0)</f>
      </c>
    </row>
    <row r="57" spans="1:4" x14ac:dyDescent="0.25">
      <c r="A57" t="s">
        <v>83</v>
      </c>
      <c r="B57">
        <v>0</v>
      </c>
      <c r="C57">
        <v>1</v>
      </c>
      <c r="D57" s="5">
        <f>IFERROR(B57/C57,0)</f>
      </c>
    </row>
    <row r="58" spans="1:4" x14ac:dyDescent="0.25">
      <c r="A58" t="s">
        <v>84</v>
      </c>
      <c r="B58">
        <v>0</v>
      </c>
      <c r="C58">
        <v>1</v>
      </c>
      <c r="D58" s="5">
        <f>IFERROR(B58/C58,0)</f>
      </c>
    </row>
    <row r="59" spans="1:4" x14ac:dyDescent="0.25">
      <c r="A59" t="s">
        <v>85</v>
      </c>
      <c r="B59">
        <v>0</v>
      </c>
      <c r="C59">
        <v>1</v>
      </c>
      <c r="D59" s="5">
        <f>IFERROR(B59/C59,0)</f>
      </c>
    </row>
    <row r="60" spans="1:4" x14ac:dyDescent="0.25">
      <c r="A60" t="s">
        <v>86</v>
      </c>
      <c r="B60">
        <v>0</v>
      </c>
      <c r="C60">
        <v>1</v>
      </c>
      <c r="D60" s="5">
        <f>IFERROR(B60/C60,0)</f>
      </c>
    </row>
    <row r="61" spans="1:4" x14ac:dyDescent="0.25">
      <c r="A61" t="s">
        <v>87</v>
      </c>
      <c r="B61">
        <v>0</v>
      </c>
      <c r="C61">
        <v>1</v>
      </c>
      <c r="D61" s="5">
        <f>IFERROR(B61/C61,0)</f>
      </c>
    </row>
    <row r="62" spans="1:4" x14ac:dyDescent="0.25">
      <c r="A62" t="s">
        <v>88</v>
      </c>
      <c r="B62">
        <v>0</v>
      </c>
      <c r="C62">
        <v>1</v>
      </c>
      <c r="D62" s="5">
        <f>IFERROR(B62/C62,0)</f>
      </c>
    </row>
    <row r="63" spans="1:4" x14ac:dyDescent="0.25">
      <c r="A63" t="s">
        <v>89</v>
      </c>
      <c r="B63">
        <v>0</v>
      </c>
      <c r="C63">
        <v>1</v>
      </c>
      <c r="D63" s="5">
        <f>IFERROR(B63/C63,0)</f>
      </c>
    </row>
    <row r="64" spans="1:4" x14ac:dyDescent="0.25">
      <c r="A64" t="s">
        <v>90</v>
      </c>
      <c r="B64">
        <v>0</v>
      </c>
      <c r="C64">
        <v>1</v>
      </c>
      <c r="D64" s="5">
        <f>IFERROR(B64/C64,0)</f>
      </c>
    </row>
    <row r="65" spans="1:4" x14ac:dyDescent="0.25">
      <c r="A65" t="s">
        <v>91</v>
      </c>
      <c r="B65">
        <v>0</v>
      </c>
      <c r="C65">
        <v>1</v>
      </c>
      <c r="D65" s="5">
        <f>IFERROR(B65/C65,0)</f>
      </c>
    </row>
    <row r="66" spans="1:4" x14ac:dyDescent="0.25">
      <c r="A66" t="s">
        <v>92</v>
      </c>
      <c r="B66">
        <v>0</v>
      </c>
      <c r="C66">
        <v>1</v>
      </c>
      <c r="D66" s="5">
        <f>IFERROR(B66/C66,0)</f>
      </c>
    </row>
    <row r="67" spans="1:4" x14ac:dyDescent="0.25">
      <c r="A67" s="6" t="s">
        <v>93</v>
      </c>
      <c r="B67" s="6">
        <f>SUM(B2:B66)</f>
      </c>
      <c r="C67" s="6">
        <f>SUM(C2:C66)</f>
      </c>
      <c r="D67" s="7">
        <f>IFERROR(B67/C67,0)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9"/>
  <sheetFormatPr defaultRowHeight="15" outlineLevelRow="0" outlineLevelCol="0" x14ac:dyDescent="55"/>
  <cols>
    <col min="1" max="2" width="12" customWidth="1"/>
    <col min="3" max="3" width="21" customWidth="1"/>
    <col min="4" max="4" width="14" customWidth="1"/>
  </cols>
  <sheetData>
    <row r="1" ht="20" customHeight="1" spans="1:4" x14ac:dyDescent="0.25">
      <c r="A1" s="4" t="s">
        <v>94</v>
      </c>
      <c r="B1" s="4" t="s">
        <v>95</v>
      </c>
      <c r="C1" s="4" t="s">
        <v>96</v>
      </c>
      <c r="D1" s="4" t="s">
        <v>97</v>
      </c>
    </row>
    <row r="2" spans="1:4" x14ac:dyDescent="0.25">
      <c r="A2" t="s">
        <v>98</v>
      </c>
      <c r="B2" t="s">
        <v>99</v>
      </c>
      <c r="C2" t="s">
        <v>100</v>
      </c>
      <c r="D2" t="s">
        <v>101</v>
      </c>
    </row>
    <row r="3" spans="1:4" x14ac:dyDescent="0.25">
      <c r="A3" t="s">
        <v>98</v>
      </c>
      <c r="B3" t="s">
        <v>102</v>
      </c>
      <c r="C3" t="s">
        <v>100</v>
      </c>
      <c r="D3" t="s">
        <v>101</v>
      </c>
    </row>
    <row r="4" spans="1:4" x14ac:dyDescent="0.25">
      <c r="A4" t="s">
        <v>98</v>
      </c>
      <c r="B4" t="s">
        <v>103</v>
      </c>
      <c r="C4" t="s">
        <v>100</v>
      </c>
      <c r="D4" t="s">
        <v>101</v>
      </c>
    </row>
    <row r="5" spans="1:4" x14ac:dyDescent="0.25">
      <c r="A5" t="s">
        <v>98</v>
      </c>
      <c r="B5" t="s">
        <v>104</v>
      </c>
      <c r="C5" t="s">
        <v>100</v>
      </c>
      <c r="D5" t="s">
        <v>101</v>
      </c>
    </row>
    <row r="6" spans="1:4" x14ac:dyDescent="0.25">
      <c r="A6" t="s">
        <v>98</v>
      </c>
      <c r="B6" t="s">
        <v>105</v>
      </c>
      <c r="C6" t="s">
        <v>100</v>
      </c>
      <c r="D6" t="s">
        <v>101</v>
      </c>
    </row>
    <row r="7" spans="1:4" x14ac:dyDescent="0.25">
      <c r="A7" t="s">
        <v>98</v>
      </c>
      <c r="B7" t="s">
        <v>106</v>
      </c>
      <c r="C7" t="s">
        <v>100</v>
      </c>
      <c r="D7" t="s">
        <v>101</v>
      </c>
    </row>
    <row r="8" spans="1:4" x14ac:dyDescent="0.25">
      <c r="A8" t="s">
        <v>98</v>
      </c>
      <c r="B8" t="s">
        <v>107</v>
      </c>
      <c r="C8" t="s">
        <v>100</v>
      </c>
      <c r="D8" t="s">
        <v>101</v>
      </c>
    </row>
    <row r="9" spans="1:4" x14ac:dyDescent="0.25">
      <c r="A9" t="s">
        <v>108</v>
      </c>
      <c r="B9" t="s">
        <v>109</v>
      </c>
      <c r="C9" t="s">
        <v>100</v>
      </c>
      <c r="D9" t="s">
        <v>101</v>
      </c>
    </row>
    <row r="10" spans="1:4" x14ac:dyDescent="0.25">
      <c r="A10" t="s">
        <v>108</v>
      </c>
      <c r="B10" t="s">
        <v>110</v>
      </c>
      <c r="C10" t="s">
        <v>100</v>
      </c>
      <c r="D10" t="s">
        <v>101</v>
      </c>
    </row>
    <row r="11" spans="1:4" x14ac:dyDescent="0.25">
      <c r="A11" t="s">
        <v>108</v>
      </c>
      <c r="B11" t="s">
        <v>111</v>
      </c>
      <c r="C11" t="s">
        <v>100</v>
      </c>
      <c r="D11" t="s">
        <v>101</v>
      </c>
    </row>
    <row r="12" spans="1:4" x14ac:dyDescent="0.25">
      <c r="A12" t="s">
        <v>108</v>
      </c>
      <c r="B12" t="s">
        <v>112</v>
      </c>
      <c r="C12" t="s">
        <v>100</v>
      </c>
      <c r="D12" t="s">
        <v>101</v>
      </c>
    </row>
    <row r="13" spans="1:4" x14ac:dyDescent="0.25">
      <c r="A13" t="s">
        <v>108</v>
      </c>
      <c r="B13" t="s">
        <v>113</v>
      </c>
      <c r="C13" t="s">
        <v>100</v>
      </c>
      <c r="D13" t="s">
        <v>101</v>
      </c>
    </row>
    <row r="14" spans="1:4" x14ac:dyDescent="0.25">
      <c r="A14" t="s">
        <v>108</v>
      </c>
      <c r="B14" t="s">
        <v>114</v>
      </c>
      <c r="C14" t="s">
        <v>100</v>
      </c>
      <c r="D14" t="s">
        <v>101</v>
      </c>
    </row>
    <row r="15" spans="1:4" x14ac:dyDescent="0.25">
      <c r="A15" t="s">
        <v>108</v>
      </c>
      <c r="B15" t="s">
        <v>115</v>
      </c>
      <c r="C15" t="s">
        <v>100</v>
      </c>
      <c r="D15" t="s">
        <v>101</v>
      </c>
    </row>
    <row r="16" spans="1:4" x14ac:dyDescent="0.25">
      <c r="A16" t="s">
        <v>108</v>
      </c>
      <c r="B16" t="s">
        <v>116</v>
      </c>
      <c r="C16" t="s">
        <v>100</v>
      </c>
      <c r="D16" t="s">
        <v>101</v>
      </c>
    </row>
    <row r="17" spans="1:4" x14ac:dyDescent="0.25">
      <c r="A17" t="s">
        <v>108</v>
      </c>
      <c r="B17" t="s">
        <v>117</v>
      </c>
      <c r="C17" t="s">
        <v>100</v>
      </c>
      <c r="D17" t="s">
        <v>101</v>
      </c>
    </row>
    <row r="18" spans="1:4" x14ac:dyDescent="0.25">
      <c r="A18" t="s">
        <v>108</v>
      </c>
      <c r="B18" t="s">
        <v>118</v>
      </c>
      <c r="C18" t="s">
        <v>100</v>
      </c>
      <c r="D18" t="s">
        <v>101</v>
      </c>
    </row>
    <row r="19" spans="1:4" x14ac:dyDescent="0.25">
      <c r="A19" t="s">
        <v>108</v>
      </c>
      <c r="B19" t="s">
        <v>119</v>
      </c>
      <c r="C19" t="s">
        <v>100</v>
      </c>
      <c r="D19" t="s">
        <v>101</v>
      </c>
    </row>
    <row r="20" spans="1:4" x14ac:dyDescent="0.25">
      <c r="A20" t="s">
        <v>108</v>
      </c>
      <c r="B20" t="s">
        <v>120</v>
      </c>
      <c r="C20" t="s">
        <v>100</v>
      </c>
      <c r="D20" t="s">
        <v>101</v>
      </c>
    </row>
    <row r="21" spans="1:4" x14ac:dyDescent="0.25">
      <c r="A21" t="s">
        <v>108</v>
      </c>
      <c r="B21" t="s">
        <v>121</v>
      </c>
      <c r="C21" t="s">
        <v>100</v>
      </c>
      <c r="D21" t="s">
        <v>101</v>
      </c>
    </row>
    <row r="22" spans="1:4" x14ac:dyDescent="0.25">
      <c r="A22" t="s">
        <v>108</v>
      </c>
      <c r="B22" t="s">
        <v>122</v>
      </c>
      <c r="C22" t="s">
        <v>100</v>
      </c>
      <c r="D22" t="s">
        <v>101</v>
      </c>
    </row>
    <row r="23" spans="1:4" x14ac:dyDescent="0.25">
      <c r="A23" t="s">
        <v>108</v>
      </c>
      <c r="B23" t="s">
        <v>123</v>
      </c>
      <c r="C23" t="s">
        <v>100</v>
      </c>
      <c r="D23" t="s">
        <v>101</v>
      </c>
    </row>
    <row r="24" spans="1:4" x14ac:dyDescent="0.25">
      <c r="A24" t="s">
        <v>108</v>
      </c>
      <c r="B24" t="s">
        <v>124</v>
      </c>
      <c r="C24" t="s">
        <v>100</v>
      </c>
      <c r="D24" t="s">
        <v>101</v>
      </c>
    </row>
    <row r="25" spans="1:4" x14ac:dyDescent="0.25">
      <c r="A25" t="s">
        <v>108</v>
      </c>
      <c r="B25" t="s">
        <v>125</v>
      </c>
      <c r="C25" t="s">
        <v>100</v>
      </c>
      <c r="D25" t="s">
        <v>101</v>
      </c>
    </row>
    <row r="26" spans="1:4" x14ac:dyDescent="0.25">
      <c r="A26" t="s">
        <v>108</v>
      </c>
      <c r="B26" t="s">
        <v>126</v>
      </c>
      <c r="C26" t="s">
        <v>100</v>
      </c>
      <c r="D26" t="s">
        <v>101</v>
      </c>
    </row>
    <row r="27" spans="1:4" x14ac:dyDescent="0.25">
      <c r="A27" t="s">
        <v>108</v>
      </c>
      <c r="B27" t="s">
        <v>127</v>
      </c>
      <c r="C27" t="s">
        <v>100</v>
      </c>
      <c r="D27" t="s">
        <v>101</v>
      </c>
    </row>
    <row r="28" spans="1:4" x14ac:dyDescent="0.25">
      <c r="A28" t="s">
        <v>108</v>
      </c>
      <c r="B28" t="s">
        <v>128</v>
      </c>
      <c r="C28" t="s">
        <v>100</v>
      </c>
      <c r="D28" t="s">
        <v>101</v>
      </c>
    </row>
    <row r="29" spans="1:4" x14ac:dyDescent="0.25">
      <c r="A29" t="s">
        <v>108</v>
      </c>
      <c r="B29" t="s">
        <v>129</v>
      </c>
      <c r="C29" t="s">
        <v>100</v>
      </c>
      <c r="D29" t="s">
        <v>101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Summary</vt:lpstr>
      <vt:lpstr>Patrol Performance</vt:lpstr>
      <vt:lpstr>Activity Log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Guard Report Server</dc:creator>
  <dc:title/>
  <dc:subject/>
  <dc:description/>
  <cp:keywords/>
  <cp:category/>
  <cp:lastModifiedBy>Unknown</cp:lastModifiedBy>
  <dcterms:created xsi:type="dcterms:W3CDTF">2026-07-24T04:00:39Z</dcterms:created>
  <dcterms:modified xsi:type="dcterms:W3CDTF">2026-07-24T04:00:39Z</dcterms:modified>
</cp:coreProperties>
</file>