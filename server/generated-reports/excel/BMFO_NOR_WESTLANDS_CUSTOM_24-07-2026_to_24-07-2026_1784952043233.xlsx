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<sst xmlns="http://schemas.openxmlformats.org/spreadsheetml/2006/main" count="142" uniqueCount="120">
  <si>
    <t>SECURITY PATROL REPORT</t>
  </si>
  <si>
    <t>BMFO NOR WESTLANDS</t>
  </si>
  <si>
    <t>Client Name</t>
  </si>
  <si>
    <t>Account Number</t>
  </si>
  <si>
    <t>A04B</t>
  </si>
  <si>
    <t>Report Type</t>
  </si>
  <si>
    <t>CUSTOM</t>
  </si>
  <si>
    <t>Period</t>
  </si>
  <si>
    <t>24/07/2026 to 24/07/2026</t>
  </si>
  <si>
    <t>Shift Days</t>
  </si>
  <si>
    <t>Generated At</t>
  </si>
  <si>
    <t>25/07/2026, 07:00:43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</si>
  <si>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</si>
  <si>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</si>
  <si>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</si>
  <si>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</si>
  <si>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</si>
  <si>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</si>
  <si>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</si>
  <si>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</si>
  <si>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</si>
  <si>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</si>
  <si>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</si>
  <si>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</si>
  <si>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</si>
  <si>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</si>
  <si>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</si>
  <si>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</si>
  <si>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AGGRAWAAL RESIDENCE</t>
  </si>
  <si>
    <t>GARDEN APARTMENTS</t>
  </si>
  <si>
    <t>KATES APARTMENTS</t>
  </si>
  <si>
    <t>NOR-WESTLANDS-D-KATES APARTMENT</t>
  </si>
  <si>
    <t>MAYFAIR OFFICE SUITES</t>
  </si>
  <si>
    <t>ROYAL OFFICES MOGOTIO RD</t>
  </si>
  <si>
    <t>PINNACLE APTS SCHOOL LANE</t>
  </si>
  <si>
    <t>NOR-WESTLANDS-D-SARIT CENTRE</t>
  </si>
  <si>
    <t>SARIT CENTRE</t>
  </si>
  <si>
    <t>RAJESH SHAH 1ST PARKLANDS</t>
  </si>
  <si>
    <t>SHANZU COURT MNGT</t>
  </si>
  <si>
    <t>UBA KENYA LTD</t>
  </si>
  <si>
    <t>AFRICAN UNION WESTLANDS</t>
  </si>
  <si>
    <t>WAUMINI SACCO WESTLANDS</t>
  </si>
  <si>
    <t>SUNTON VALLEY MANAGEMENT</t>
  </si>
  <si>
    <t>MR NITIN SHAH</t>
  </si>
  <si>
    <t>TREC ENTERPRISES</t>
  </si>
  <si>
    <t>NORTH PARK MGMT PARK PLACE</t>
  </si>
  <si>
    <t>NOR NCBA GRENADIER HOUSE</t>
  </si>
  <si>
    <t>SHANZU COURT 1</t>
  </si>
  <si>
    <t>NOR SHANZU COURT 1</t>
  </si>
  <si>
    <t>SHANZU COURT 2 AND 3</t>
  </si>
  <si>
    <t>NCBA THE PROMENADE</t>
  </si>
  <si>
    <t>748 AIR MIRAGE PLAZA</t>
  </si>
  <si>
    <t>ELITE GARDEN VILLAS</t>
  </si>
  <si>
    <t>FEDHA PLAZA WESTLANDS</t>
  </si>
  <si>
    <t>FEDHA PLAZA CAPITAL M</t>
  </si>
  <si>
    <t>CHIROMO MED CHIROMO LANE</t>
  </si>
  <si>
    <t>ELITE RESIDENCE VAAL</t>
  </si>
  <si>
    <t>ILRI ANN GOSHI</t>
  </si>
  <si>
    <t>ABSA WESTEND BUILDING</t>
  </si>
  <si>
    <t>NOR ABSA CHIERA WAITHAKA</t>
  </si>
  <si>
    <t>ABSA LIMURU</t>
  </si>
  <si>
    <t>NOR ABASA STELLA MAMBO RES</t>
  </si>
  <si>
    <t>CARINA RUMBERGER YANDA</t>
  </si>
  <si>
    <t>JOHANNITER UNFALL HIFE</t>
  </si>
  <si>
    <t>NOR CIMMTY ABHISHEK</t>
  </si>
  <si>
    <t>ANDERSON PETERSON</t>
  </si>
  <si>
    <t>PENTAGON GARDENS</t>
  </si>
  <si>
    <t>GT BANK HEAD OFFICE</t>
  </si>
  <si>
    <t>GT BANK APIC</t>
  </si>
  <si>
    <t>GT BANK SKYPARK</t>
  </si>
  <si>
    <t>PTA ASSURANCE CEO RES</t>
  </si>
  <si>
    <t>HIGH COMM INDIA STAFF QRT</t>
  </si>
  <si>
    <t>NOR HIGH COMM  OF INDIA</t>
  </si>
  <si>
    <t>HEAD OF ICRC RESIDENCE</t>
  </si>
  <si>
    <t>EQUITY WESTLANDS</t>
  </si>
  <si>
    <t>BAWMAN ASSOCIATES</t>
  </si>
  <si>
    <t>SANDALWOOD BROOKSIDE LTD</t>
  </si>
  <si>
    <t>PARKLANDS SPORTS CLUB</t>
  </si>
  <si>
    <t>SOLEDAD SANCHEZ</t>
  </si>
  <si>
    <t>ICRC ALBERT JABRE</t>
  </si>
  <si>
    <t>LUQMAN ENERG 5TH PARKLANDS</t>
  </si>
  <si>
    <t>ORIEL LTD WESTLANDS</t>
  </si>
  <si>
    <t>DIB BANK WESTLANDS</t>
  </si>
  <si>
    <t>INTEX CONSTRUCTION WEST</t>
  </si>
  <si>
    <t>HOTPOINT SARIT CENTRE</t>
  </si>
  <si>
    <t>VICTORIA BANK PROMENADE</t>
  </si>
  <si>
    <t>ABSA UON</t>
  </si>
  <si>
    <t>ABSA SARIT CENTRE</t>
  </si>
  <si>
    <t>MULTICHOICE SARIT CENTRE</t>
  </si>
  <si>
    <t>MYSAFE VAULTS SARIT</t>
  </si>
  <si>
    <t>HARLEYS LIMITED</t>
  </si>
  <si>
    <t>TAARIFA SUITES DUNHILL</t>
  </si>
  <si>
    <t>VICTORIA CARPET SARIT</t>
  </si>
  <si>
    <t>UBA BANK IMPERIAL COURT</t>
  </si>
  <si>
    <t>NCBA BANK THE MALL</t>
  </si>
  <si>
    <t>GALLANT BUILDING</t>
  </si>
  <si>
    <t>CIMMYT ABHISHEK RES</t>
  </si>
  <si>
    <t>ABSA WESTGATE MALL</t>
  </si>
  <si>
    <t>UN ANNABEL NAMIK</t>
  </si>
  <si>
    <t>RATILAL D P SHAH</t>
  </si>
  <si>
    <t>MOTOR MARKET LIMITED</t>
  </si>
  <si>
    <t>MAGOMERE EUNICE KASUDI</t>
  </si>
  <si>
    <t>NAIROBI MUGUGA CHAPEL</t>
  </si>
  <si>
    <t>ABSA BAOBAB PREMIER</t>
  </si>
  <si>
    <t>TOTAL</t>
  </si>
  <si>
    <t>Date</t>
  </si>
  <si>
    <t>Time</t>
  </si>
  <si>
    <t>Event</t>
  </si>
  <si>
    <t>Location</t>
  </si>
  <si>
    <t>24/07/2026</t>
  </si>
  <si>
    <t>12:55:01</t>
  </si>
  <si>
    <t>VigiControl Arrival</t>
  </si>
  <si>
    <t>13:07:53</t>
  </si>
  <si>
    <t>13:23:29</t>
  </si>
  <si>
    <t>13:41:13</t>
  </si>
  <si>
    <t>13:52:19</t>
  </si>
  <si>
    <t>14:03:28</t>
  </si>
  <si>
    <t>14:41:42</t>
  </si>
  <si>
    <t>15:04:19</t>
  </si>
  <si>
    <t>Zone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</si>
</sst>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0.09</v>
      </c>
    </row>
    <row r="11" spans="1:2" x14ac:dyDescent="0.25">
      <c r="A11" s="2" t="s">
        <v>13</v>
      </c>
      <c r="B11">
        <v>7</v>
      </c>
    </row>
    <row r="12" spans="1:2" x14ac:dyDescent="0.25">
      <c r="A12" s="2" t="s">
        <v>14</v>
      </c>
      <c r="B12">
        <v>76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76</v>
      </c>
    </row>
    <row r="16" spans="1:2" x14ac:dyDescent="0.25">
      <c r="A16" s="2" t="s">
        <v>17</v>
      </c>
      <c r="B16">
        <v>7</v>
      </c>
    </row>
    <row r="17" spans="1:2" x14ac:dyDescent="0.25">
      <c r="A17" s="2" t="s">
        <v>18</v>
      </c>
      <c r="B17">
        <v>69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1" width="33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1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1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1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t="s">
        <v>101</v>
      </c>
      <c r="B75">
        <v>0</v>
      </c>
      <c r="C75">
        <v>1</v>
      </c>
      <c r="D75" s="5">
        <f>IFERROR(B75/C75,0)</f>
      </c>
    </row>
    <row r="76" spans="1:4" x14ac:dyDescent="0.25">
      <c r="A76" t="s">
        <v>102</v>
      </c>
      <c r="B76">
        <v>0</v>
      </c>
      <c r="C76">
        <v>1</v>
      </c>
      <c r="D76" s="5">
        <f>IFERROR(B76/C76,0)</f>
      </c>
    </row>
    <row r="77" spans="1:4" x14ac:dyDescent="0.25">
      <c r="A77" t="s">
        <v>103</v>
      </c>
      <c r="B77">
        <v>0</v>
      </c>
      <c r="C77">
        <v>1</v>
      </c>
      <c r="D77" s="5">
        <f>IFERROR(B77/C77,0)</f>
      </c>
    </row>
    <row r="78" spans="1:4" x14ac:dyDescent="0.25">
      <c r="A78" s="6" t="s">
        <v>104</v>
      </c>
      <c r="B78" s="6">
        <f>SUM(B2:B77)</f>
      </c>
      <c r="C78" s="6">
        <f>SUM(C2:C77)</f>
      </c>
      <c r="D78" s="7">
        <f>IFERROR(B78/C78,0)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2" width="12" customWidth="1"/>
    <col min="3" max="3" width="21" customWidth="1"/>
    <col min="4" max="4" width="26" customWidth="1"/>
  </cols>
  <sheetData>
    <row r="1" ht="20" customHeight="1" spans="1:4" x14ac:dyDescent="0.25">
      <c r="A1" s="4" t="s">
        <v>105</v>
      </c>
      <c r="B1" s="4" t="s">
        <v>106</v>
      </c>
      <c r="C1" s="4" t="s">
        <v>107</v>
      </c>
      <c r="D1" s="4" t="s">
        <v>108</v>
      </c>
    </row>
    <row r="2" spans="1:4" x14ac:dyDescent="0.25">
      <c r="A2" t="s">
        <v>109</v>
      </c>
      <c r="B2" t="s">
        <v>110</v>
      </c>
      <c r="C2" t="s">
        <v>111</v>
      </c>
      <c r="D2" t="s">
        <v>53</v>
      </c>
    </row>
    <row r="3" spans="1:4" x14ac:dyDescent="0.25">
      <c r="A3" t="s">
        <v>109</v>
      </c>
      <c r="B3" t="s">
        <v>112</v>
      </c>
      <c r="C3" t="s">
        <v>111</v>
      </c>
      <c r="D3" t="s">
        <v>32</v>
      </c>
    </row>
    <row r="4" spans="1:4" x14ac:dyDescent="0.25">
      <c r="A4" t="s">
        <v>109</v>
      </c>
      <c r="B4" t="s">
        <v>113</v>
      </c>
      <c r="C4" t="s">
        <v>111</v>
      </c>
      <c r="D4" t="s">
        <v>95</v>
      </c>
    </row>
    <row r="5" spans="1:4" x14ac:dyDescent="0.25">
      <c r="A5" t="s">
        <v>109</v>
      </c>
      <c r="B5" t="s">
        <v>114</v>
      </c>
      <c r="C5" t="s">
        <v>111</v>
      </c>
      <c r="D5" t="s">
        <v>33</v>
      </c>
    </row>
    <row r="6" spans="1:4" x14ac:dyDescent="0.25">
      <c r="A6" t="s">
        <v>109</v>
      </c>
      <c r="B6" t="s">
        <v>115</v>
      </c>
      <c r="C6" t="s">
        <v>111</v>
      </c>
      <c r="D6" t="s">
        <v>74</v>
      </c>
    </row>
    <row r="7" spans="1:4" x14ac:dyDescent="0.25">
      <c r="A7" t="s">
        <v>109</v>
      </c>
      <c r="B7" t="s">
        <v>116</v>
      </c>
      <c r="C7" t="s">
        <v>111</v>
      </c>
      <c r="D7" t="s">
        <v>69</v>
      </c>
    </row>
    <row r="8" spans="1:4" x14ac:dyDescent="0.25">
      <c r="A8" t="s">
        <v>109</v>
      </c>
      <c r="B8" t="s">
        <v>117</v>
      </c>
      <c r="C8" t="s">
        <v>111</v>
      </c>
      <c r="D8" t="s">
        <v>49</v>
      </c>
    </row>
    <row r="9" spans="1:4" x14ac:dyDescent="0.25">
      <c r="A9" t="s">
        <v>109</v>
      </c>
      <c r="B9" t="s">
        <v>118</v>
      </c>
      <c r="C9" t="s">
        <v>111</v>
      </c>
      <c r="D9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2026-07-25T04:00:43Z</dcterms:created>
  <dcterms:modified xsi:type="dcterms:W3CDTF">2026-07-25T04:00:43Z</dcterms:modified>
</cp:coreProperties>
</file>